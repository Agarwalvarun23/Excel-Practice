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xcel\Excel-Practice\"/>
    </mc:Choice>
  </mc:AlternateContent>
  <xr:revisionPtr revIDLastSave="0" documentId="13_ncr:1_{63614337-3A41-4434-857B-277BF1A26E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1" i="2"/>
  <c r="B10" i="2"/>
  <c r="B9" i="2"/>
  <c r="B6" i="2"/>
  <c r="B5" i="2"/>
  <c r="B4" i="2"/>
  <c r="B3" i="2"/>
  <c r="B2" i="2"/>
  <c r="A2" i="1"/>
</calcChain>
</file>

<file path=xl/sharedStrings.xml><?xml version="1.0" encoding="utf-8"?>
<sst xmlns="http://schemas.openxmlformats.org/spreadsheetml/2006/main" count="171" uniqueCount="40">
  <si>
    <t>Date</t>
  </si>
  <si>
    <t>Category</t>
  </si>
  <si>
    <t>Description</t>
  </si>
  <si>
    <t>Payment Mode</t>
  </si>
  <si>
    <t>Amount</t>
  </si>
  <si>
    <t>Food</t>
  </si>
  <si>
    <t>Lunch</t>
  </si>
  <si>
    <t>UPI</t>
  </si>
  <si>
    <t>Transport</t>
  </si>
  <si>
    <t>Auto</t>
  </si>
  <si>
    <t>Cash</t>
  </si>
  <si>
    <t>Shopping</t>
  </si>
  <si>
    <t>T-Shirt</t>
  </si>
  <si>
    <t>Card</t>
  </si>
  <si>
    <t>Pizza</t>
  </si>
  <si>
    <t>Fuel</t>
  </si>
  <si>
    <t>Petrol</t>
  </si>
  <si>
    <t>Entertainment</t>
  </si>
  <si>
    <t>Movie</t>
  </si>
  <si>
    <t>Coffee</t>
  </si>
  <si>
    <t>Metro</t>
  </si>
  <si>
    <t>Dinner</t>
  </si>
  <si>
    <t>Shoes</t>
  </si>
  <si>
    <t>Netflix</t>
  </si>
  <si>
    <t>Breakfast</t>
  </si>
  <si>
    <t>Cab</t>
  </si>
  <si>
    <t>Books</t>
  </si>
  <si>
    <t>Snacks</t>
  </si>
  <si>
    <t>Cricket Match</t>
  </si>
  <si>
    <t>FIND Total expenses</t>
  </si>
  <si>
    <t>Average expense</t>
  </si>
  <si>
    <t>Highest expense</t>
  </si>
  <si>
    <t>Lowest expense</t>
  </si>
  <si>
    <t>Total number of transactions</t>
  </si>
  <si>
    <t>Metrics</t>
  </si>
  <si>
    <t>Total Expense</t>
  </si>
  <si>
    <t>Average Expense</t>
  </si>
  <si>
    <t>Highest</t>
  </si>
  <si>
    <t>Lowest</t>
  </si>
  <si>
    <t>Total Txns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</si>
</sst>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/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"/>
  <sheetViews>
    <sheetView workbookViewId="0">
      <selection activeCell="H41" sqref="H41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f>DATE(2026,6,1)</f>
        <v>46174</v>
      </c>
      <c r="B2" s="4" t="s">
        <v>5</v>
      </c>
      <c r="C2" s="4" t="s">
        <v>6</v>
      </c>
      <c r="D2" s="4" t="s">
        <v>7</v>
      </c>
      <c r="E2" s="4">
        <v>120</v>
      </c>
    </row>
    <row r="3" spans="1:5" x14ac:dyDescent="0.3">
      <c r="A3" s="3">
        <v>46174</v>
      </c>
      <c r="B3" s="4" t="s">
        <v>8</v>
      </c>
      <c r="C3" s="4" t="s">
        <v>9</v>
      </c>
      <c r="D3" s="4" t="s">
        <v>10</v>
      </c>
      <c r="E3" s="4">
        <v>80</v>
      </c>
    </row>
    <row r="4" spans="1:5" x14ac:dyDescent="0.3">
      <c r="A4" s="3">
        <v>46175</v>
      </c>
      <c r="B4" s="4" t="s">
        <v>11</v>
      </c>
      <c r="C4" s="4" t="s">
        <v>12</v>
      </c>
      <c r="D4" s="4" t="s">
        <v>13</v>
      </c>
      <c r="E4" s="4">
        <v>700</v>
      </c>
    </row>
    <row r="5" spans="1:5" x14ac:dyDescent="0.3">
      <c r="A5" s="3">
        <v>46175</v>
      </c>
      <c r="B5" s="4" t="s">
        <v>5</v>
      </c>
      <c r="C5" s="4" t="s">
        <v>14</v>
      </c>
      <c r="D5" s="4" t="s">
        <v>7</v>
      </c>
      <c r="E5" s="4">
        <v>350</v>
      </c>
    </row>
    <row r="6" spans="1:5" x14ac:dyDescent="0.3">
      <c r="A6" s="3">
        <v>46176</v>
      </c>
      <c r="B6" s="4" t="s">
        <v>15</v>
      </c>
      <c r="C6" s="4" t="s">
        <v>16</v>
      </c>
      <c r="D6" s="4" t="s">
        <v>13</v>
      </c>
      <c r="E6" s="4">
        <v>1000</v>
      </c>
    </row>
    <row r="7" spans="1:5" ht="28.8" x14ac:dyDescent="0.3">
      <c r="A7" s="3">
        <v>46176</v>
      </c>
      <c r="B7" s="4" t="s">
        <v>17</v>
      </c>
      <c r="C7" s="4" t="s">
        <v>18</v>
      </c>
      <c r="D7" s="4" t="s">
        <v>7</v>
      </c>
      <c r="E7" s="4">
        <v>250</v>
      </c>
    </row>
    <row r="8" spans="1:5" x14ac:dyDescent="0.3">
      <c r="A8" s="3">
        <v>46177</v>
      </c>
      <c r="B8" s="4" t="s">
        <v>5</v>
      </c>
      <c r="C8" s="4" t="s">
        <v>19</v>
      </c>
      <c r="D8" s="4" t="s">
        <v>10</v>
      </c>
      <c r="E8" s="4">
        <v>90</v>
      </c>
    </row>
    <row r="9" spans="1:5" x14ac:dyDescent="0.3">
      <c r="A9" s="3">
        <v>46177</v>
      </c>
      <c r="B9" s="4" t="s">
        <v>8</v>
      </c>
      <c r="C9" s="4" t="s">
        <v>20</v>
      </c>
      <c r="D9" s="4" t="s">
        <v>7</v>
      </c>
      <c r="E9" s="4">
        <v>50</v>
      </c>
    </row>
    <row r="10" spans="1:5" x14ac:dyDescent="0.3">
      <c r="A10" s="3">
        <v>46178</v>
      </c>
      <c r="B10" s="4" t="s">
        <v>5</v>
      </c>
      <c r="C10" s="4" t="s">
        <v>21</v>
      </c>
      <c r="D10" s="4" t="s">
        <v>13</v>
      </c>
      <c r="E10" s="4">
        <v>450</v>
      </c>
    </row>
    <row r="11" spans="1:5" x14ac:dyDescent="0.3">
      <c r="A11" s="3">
        <v>46178</v>
      </c>
      <c r="B11" s="4" t="s">
        <v>11</v>
      </c>
      <c r="C11" s="4" t="s">
        <v>22</v>
      </c>
      <c r="D11" s="4" t="s">
        <v>7</v>
      </c>
      <c r="E11" s="4">
        <v>1800</v>
      </c>
    </row>
    <row r="12" spans="1:5" x14ac:dyDescent="0.3">
      <c r="A12" s="3">
        <v>46179</v>
      </c>
      <c r="B12" s="4" t="s">
        <v>15</v>
      </c>
      <c r="C12" s="4" t="s">
        <v>16</v>
      </c>
      <c r="D12" s="4" t="s">
        <v>10</v>
      </c>
      <c r="E12" s="4">
        <v>1200</v>
      </c>
    </row>
    <row r="13" spans="1:5" ht="28.8" x14ac:dyDescent="0.3">
      <c r="A13" s="3">
        <v>46179</v>
      </c>
      <c r="B13" s="4" t="s">
        <v>17</v>
      </c>
      <c r="C13" s="4" t="s">
        <v>23</v>
      </c>
      <c r="D13" s="4" t="s">
        <v>13</v>
      </c>
      <c r="E13" s="4">
        <v>199</v>
      </c>
    </row>
    <row r="14" spans="1:5" x14ac:dyDescent="0.3">
      <c r="A14" s="3">
        <v>46180</v>
      </c>
      <c r="B14" s="4" t="s">
        <v>5</v>
      </c>
      <c r="C14" s="4" t="s">
        <v>24</v>
      </c>
      <c r="D14" s="4" t="s">
        <v>7</v>
      </c>
      <c r="E14" s="4">
        <v>80</v>
      </c>
    </row>
    <row r="15" spans="1:5" x14ac:dyDescent="0.3">
      <c r="A15" s="3">
        <v>46180</v>
      </c>
      <c r="B15" s="4" t="s">
        <v>8</v>
      </c>
      <c r="C15" s="4" t="s">
        <v>25</v>
      </c>
      <c r="D15" s="4" t="s">
        <v>7</v>
      </c>
      <c r="E15" s="4">
        <v>250</v>
      </c>
    </row>
    <row r="16" spans="1:5" x14ac:dyDescent="0.3">
      <c r="A16" s="3">
        <v>46181</v>
      </c>
      <c r="B16" s="4" t="s">
        <v>11</v>
      </c>
      <c r="C16" s="4" t="s">
        <v>26</v>
      </c>
      <c r="D16" s="4" t="s">
        <v>10</v>
      </c>
      <c r="E16" s="4">
        <v>500</v>
      </c>
    </row>
    <row r="17" spans="1:9" x14ac:dyDescent="0.3">
      <c r="A17" s="3">
        <v>46181</v>
      </c>
      <c r="B17" s="4" t="s">
        <v>5</v>
      </c>
      <c r="C17" s="4" t="s">
        <v>27</v>
      </c>
      <c r="D17" s="4" t="s">
        <v>7</v>
      </c>
      <c r="E17" s="4">
        <v>70</v>
      </c>
    </row>
    <row r="18" spans="1:9" x14ac:dyDescent="0.3">
      <c r="A18" s="3">
        <v>46182</v>
      </c>
      <c r="B18" s="4" t="s">
        <v>15</v>
      </c>
      <c r="C18" s="4" t="s">
        <v>16</v>
      </c>
      <c r="D18" s="4" t="s">
        <v>13</v>
      </c>
      <c r="E18" s="4">
        <v>1100</v>
      </c>
    </row>
    <row r="19" spans="1:9" ht="28.8" x14ac:dyDescent="0.3">
      <c r="A19" s="3">
        <v>46182</v>
      </c>
      <c r="B19" s="4" t="s">
        <v>17</v>
      </c>
      <c r="C19" s="4" t="s">
        <v>28</v>
      </c>
      <c r="D19" s="4" t="s">
        <v>7</v>
      </c>
      <c r="E19" s="4">
        <v>300</v>
      </c>
      <c r="I19" s="5"/>
    </row>
    <row r="20" spans="1:9" x14ac:dyDescent="0.3">
      <c r="A20" s="3">
        <v>46183</v>
      </c>
      <c r="B20" s="4" t="s">
        <v>5</v>
      </c>
      <c r="C20" s="4" t="s">
        <v>6</v>
      </c>
      <c r="D20" s="4" t="s">
        <v>7</v>
      </c>
      <c r="E20" s="4">
        <v>150</v>
      </c>
    </row>
    <row r="21" spans="1:9" x14ac:dyDescent="0.3">
      <c r="A21" s="3">
        <v>46183</v>
      </c>
      <c r="B21" s="4" t="s">
        <v>8</v>
      </c>
      <c r="C21" s="4" t="s">
        <v>9</v>
      </c>
      <c r="D21" s="4" t="s">
        <v>10</v>
      </c>
      <c r="E21" s="4">
        <v>90</v>
      </c>
    </row>
    <row r="22" spans="1:9" x14ac:dyDescent="0.3">
      <c r="A22" s="2">
        <v>46184</v>
      </c>
      <c r="B22" s="4" t="s">
        <v>5</v>
      </c>
      <c r="C22" s="4" t="s">
        <v>6</v>
      </c>
      <c r="D22" s="4" t="s">
        <v>7</v>
      </c>
      <c r="E22" s="4">
        <v>120</v>
      </c>
    </row>
    <row r="23" spans="1:9" x14ac:dyDescent="0.3">
      <c r="A23" s="2">
        <v>46184</v>
      </c>
      <c r="B23" s="4" t="s">
        <v>8</v>
      </c>
      <c r="C23" s="4" t="s">
        <v>9</v>
      </c>
      <c r="D23" s="4" t="s">
        <v>10</v>
      </c>
      <c r="E23" s="4">
        <v>80</v>
      </c>
    </row>
    <row r="24" spans="1:9" x14ac:dyDescent="0.3">
      <c r="A24" s="2">
        <v>46185</v>
      </c>
      <c r="B24" s="4" t="s">
        <v>11</v>
      </c>
      <c r="C24" s="4" t="s">
        <v>12</v>
      </c>
      <c r="D24" s="4" t="s">
        <v>13</v>
      </c>
      <c r="E24" s="4">
        <v>700</v>
      </c>
    </row>
    <row r="25" spans="1:9" x14ac:dyDescent="0.3">
      <c r="A25" s="2">
        <v>46186</v>
      </c>
      <c r="B25" s="4" t="s">
        <v>5</v>
      </c>
      <c r="C25" s="4" t="s">
        <v>14</v>
      </c>
      <c r="D25" s="4" t="s">
        <v>7</v>
      </c>
      <c r="E25" s="4">
        <v>350</v>
      </c>
    </row>
    <row r="26" spans="1:9" x14ac:dyDescent="0.3">
      <c r="A26" s="2">
        <v>46186</v>
      </c>
      <c r="B26" s="4" t="s">
        <v>15</v>
      </c>
      <c r="C26" s="4" t="s">
        <v>16</v>
      </c>
      <c r="D26" s="4" t="s">
        <v>13</v>
      </c>
      <c r="E26" s="4">
        <v>1000</v>
      </c>
    </row>
    <row r="27" spans="1:9" ht="28.8" x14ac:dyDescent="0.3">
      <c r="A27" s="2">
        <v>46187</v>
      </c>
      <c r="B27" s="4" t="s">
        <v>17</v>
      </c>
      <c r="C27" s="4" t="s">
        <v>18</v>
      </c>
      <c r="D27" s="4" t="s">
        <v>7</v>
      </c>
      <c r="E27" s="4">
        <v>250</v>
      </c>
    </row>
    <row r="28" spans="1:9" x14ac:dyDescent="0.3">
      <c r="A28" s="2">
        <v>46187</v>
      </c>
      <c r="B28" s="4" t="s">
        <v>5</v>
      </c>
      <c r="C28" s="4" t="s">
        <v>19</v>
      </c>
      <c r="D28" s="4" t="s">
        <v>10</v>
      </c>
      <c r="E28" s="4">
        <v>90</v>
      </c>
    </row>
    <row r="29" spans="1:9" x14ac:dyDescent="0.3">
      <c r="A29" s="2">
        <v>46188</v>
      </c>
      <c r="B29" s="4" t="s">
        <v>8</v>
      </c>
      <c r="C29" s="4" t="s">
        <v>20</v>
      </c>
      <c r="D29" s="4" t="s">
        <v>7</v>
      </c>
      <c r="E29" s="4">
        <v>50</v>
      </c>
    </row>
    <row r="30" spans="1:9" x14ac:dyDescent="0.3">
      <c r="A30" s="2">
        <v>46188</v>
      </c>
      <c r="B30" s="4" t="s">
        <v>5</v>
      </c>
      <c r="C30" s="4" t="s">
        <v>21</v>
      </c>
      <c r="D30" s="4" t="s">
        <v>13</v>
      </c>
      <c r="E30" s="4">
        <v>450</v>
      </c>
    </row>
    <row r="31" spans="1:9" x14ac:dyDescent="0.3">
      <c r="A31" s="2">
        <v>46189</v>
      </c>
      <c r="B31" s="4" t="s">
        <v>11</v>
      </c>
      <c r="C31" s="4" t="s">
        <v>22</v>
      </c>
      <c r="D31" s="4" t="s">
        <v>7</v>
      </c>
      <c r="E31" s="4">
        <v>1800</v>
      </c>
    </row>
    <row r="32" spans="1:9" x14ac:dyDescent="0.3">
      <c r="A32" s="2">
        <v>46189</v>
      </c>
      <c r="B32" s="4" t="s">
        <v>15</v>
      </c>
      <c r="C32" s="4" t="s">
        <v>16</v>
      </c>
      <c r="D32" s="4" t="s">
        <v>10</v>
      </c>
      <c r="E32" s="4">
        <v>1200</v>
      </c>
    </row>
    <row r="33" spans="1:5" ht="28.8" x14ac:dyDescent="0.3">
      <c r="A33" s="2">
        <v>46190</v>
      </c>
      <c r="B33" s="4" t="s">
        <v>17</v>
      </c>
      <c r="C33" s="4" t="s">
        <v>23</v>
      </c>
      <c r="D33" s="4" t="s">
        <v>13</v>
      </c>
      <c r="E33" s="4">
        <v>199</v>
      </c>
    </row>
    <row r="34" spans="1:5" x14ac:dyDescent="0.3">
      <c r="A34" s="2">
        <v>46190</v>
      </c>
      <c r="B34" s="4" t="s">
        <v>5</v>
      </c>
      <c r="C34" s="4" t="s">
        <v>24</v>
      </c>
      <c r="D34" s="4" t="s">
        <v>7</v>
      </c>
      <c r="E34" s="4">
        <v>80</v>
      </c>
    </row>
    <row r="35" spans="1:5" x14ac:dyDescent="0.3">
      <c r="A35" s="2">
        <v>46191</v>
      </c>
      <c r="B35" s="4" t="s">
        <v>8</v>
      </c>
      <c r="C35" s="4" t="s">
        <v>25</v>
      </c>
      <c r="D35" s="4" t="s">
        <v>7</v>
      </c>
      <c r="E35" s="4">
        <v>250</v>
      </c>
    </row>
    <row r="36" spans="1:5" x14ac:dyDescent="0.3">
      <c r="A36" s="2">
        <v>46191</v>
      </c>
      <c r="B36" s="4" t="s">
        <v>11</v>
      </c>
      <c r="C36" s="4" t="s">
        <v>26</v>
      </c>
      <c r="D36" s="4" t="s">
        <v>10</v>
      </c>
      <c r="E36" s="4">
        <v>500</v>
      </c>
    </row>
    <row r="37" spans="1:5" x14ac:dyDescent="0.3">
      <c r="A37" s="2">
        <v>46192</v>
      </c>
      <c r="B37" s="4" t="s">
        <v>5</v>
      </c>
      <c r="C37" s="4" t="s">
        <v>27</v>
      </c>
      <c r="D37" s="4" t="s">
        <v>7</v>
      </c>
      <c r="E37" s="4">
        <v>70</v>
      </c>
    </row>
    <row r="38" spans="1:5" x14ac:dyDescent="0.3">
      <c r="A38" s="2">
        <v>46192</v>
      </c>
      <c r="B38" s="4" t="s">
        <v>15</v>
      </c>
      <c r="C38" s="4" t="s">
        <v>16</v>
      </c>
      <c r="D38" s="4" t="s">
        <v>13</v>
      </c>
      <c r="E38" s="4">
        <v>1100</v>
      </c>
    </row>
    <row r="39" spans="1:5" ht="28.8" x14ac:dyDescent="0.3">
      <c r="A39" s="2">
        <v>46193</v>
      </c>
      <c r="B39" s="4" t="s">
        <v>17</v>
      </c>
      <c r="C39" s="4" t="s">
        <v>28</v>
      </c>
      <c r="D39" s="4" t="s">
        <v>7</v>
      </c>
      <c r="E39" s="4">
        <v>300</v>
      </c>
    </row>
    <row r="40" spans="1:5" x14ac:dyDescent="0.3">
      <c r="A40" s="2">
        <v>46193</v>
      </c>
      <c r="B40" s="4" t="s">
        <v>5</v>
      </c>
      <c r="C40" s="4" t="s">
        <v>6</v>
      </c>
      <c r="D40" s="4" t="s">
        <v>7</v>
      </c>
      <c r="E40" s="4">
        <v>150</v>
      </c>
    </row>
    <row r="41" spans="1:5" x14ac:dyDescent="0.3">
      <c r="A41" s="2">
        <v>46194</v>
      </c>
      <c r="B41" s="4" t="s">
        <v>8</v>
      </c>
      <c r="C41" s="4" t="s">
        <v>9</v>
      </c>
      <c r="D41" s="4" t="s">
        <v>10</v>
      </c>
      <c r="E41" s="4">
        <v>90</v>
      </c>
    </row>
    <row r="42" spans="1:5" x14ac:dyDescent="0.3">
      <c r="A42" s="2">
        <v>46194</v>
      </c>
      <c r="B42" s="4" t="s">
        <v>5</v>
      </c>
      <c r="C42" s="4" t="s">
        <v>24</v>
      </c>
      <c r="D42" s="4" t="s">
        <v>7</v>
      </c>
      <c r="E42" s="4">
        <v>80</v>
      </c>
    </row>
    <row r="43" spans="1:5" x14ac:dyDescent="0.3">
      <c r="A43" s="2">
        <v>46195</v>
      </c>
      <c r="B43" s="4" t="s">
        <v>8</v>
      </c>
      <c r="C43" s="4" t="s">
        <v>25</v>
      </c>
      <c r="D43" s="4" t="s">
        <v>7</v>
      </c>
      <c r="E43" s="4">
        <v>250</v>
      </c>
    </row>
    <row r="44" spans="1:5" x14ac:dyDescent="0.3">
      <c r="A44" s="2">
        <v>46195</v>
      </c>
      <c r="B44" s="4" t="s">
        <v>11</v>
      </c>
      <c r="C44" s="4" t="s">
        <v>26</v>
      </c>
      <c r="D44" s="4" t="s">
        <v>10</v>
      </c>
      <c r="E44" s="4">
        <v>500</v>
      </c>
    </row>
    <row r="45" spans="1:5" x14ac:dyDescent="0.3">
      <c r="A45" s="2">
        <v>46196</v>
      </c>
      <c r="B45" s="4" t="s">
        <v>5</v>
      </c>
      <c r="C45" s="4" t="s">
        <v>27</v>
      </c>
      <c r="D45" s="4" t="s">
        <v>7</v>
      </c>
      <c r="E45" s="4">
        <v>70</v>
      </c>
    </row>
    <row r="46" spans="1:5" x14ac:dyDescent="0.3">
      <c r="A46" s="2">
        <v>46196</v>
      </c>
      <c r="B46" s="4" t="s">
        <v>15</v>
      </c>
      <c r="C46" s="4" t="s">
        <v>16</v>
      </c>
      <c r="D46" s="4" t="s">
        <v>13</v>
      </c>
      <c r="E46" s="4">
        <v>1100</v>
      </c>
    </row>
    <row r="47" spans="1:5" ht="28.8" x14ac:dyDescent="0.3">
      <c r="A47" s="2">
        <v>46197</v>
      </c>
      <c r="B47" s="4" t="s">
        <v>17</v>
      </c>
      <c r="C47" s="4" t="s">
        <v>28</v>
      </c>
      <c r="D47" s="4" t="s">
        <v>7</v>
      </c>
      <c r="E47" s="4">
        <v>300</v>
      </c>
    </row>
    <row r="48" spans="1:5" x14ac:dyDescent="0.3">
      <c r="A48" s="2">
        <v>46197</v>
      </c>
      <c r="B48" s="4" t="s">
        <v>5</v>
      </c>
      <c r="C48" s="4" t="s">
        <v>6</v>
      </c>
      <c r="D48" s="4" t="s">
        <v>7</v>
      </c>
      <c r="E48" s="4">
        <v>150</v>
      </c>
    </row>
    <row r="49" spans="1:20" x14ac:dyDescent="0.3">
      <c r="A49" s="2">
        <v>46198</v>
      </c>
      <c r="B49" s="4" t="s">
        <v>8</v>
      </c>
      <c r="C49" s="4" t="s">
        <v>9</v>
      </c>
      <c r="D49" s="4" t="s">
        <v>10</v>
      </c>
      <c r="E49" s="4">
        <v>90</v>
      </c>
    </row>
    <row r="50" spans="1:20" x14ac:dyDescent="0.3">
      <c r="A50" s="2">
        <v>46198</v>
      </c>
      <c r="B50" s="4" t="s">
        <v>8</v>
      </c>
      <c r="C50" s="4" t="s">
        <v>9</v>
      </c>
      <c r="D50" s="4" t="s">
        <v>10</v>
      </c>
      <c r="E50" s="4">
        <v>90</v>
      </c>
    </row>
    <row r="51" spans="1:20" x14ac:dyDescent="0.3">
      <c r="T51" t="s">
        <v>29</v>
      </c>
    </row>
    <row r="52" spans="1:20" x14ac:dyDescent="0.3">
      <c r="T52" t="s">
        <v>30</v>
      </c>
    </row>
    <row r="53" spans="1:20" x14ac:dyDescent="0.3">
      <c r="T53" t="s">
        <v>31</v>
      </c>
    </row>
    <row r="54" spans="1:20" x14ac:dyDescent="0.3">
      <c r="T54" t="s">
        <v>32</v>
      </c>
    </row>
    <row r="55" spans="1:20" x14ac:dyDescent="0.3">
      <c r="T5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8C7A-8ECF-4212-B489-980E852FD242}">
  <dimension ref="A1:B13"/>
  <sheetViews>
    <sheetView tabSelected="1" workbookViewId="0">
      <selection activeCell="B14" sqref="B14"/>
    </sheetView>
  </sheetViews>
  <sheetFormatPr defaultRowHeight="14.4" x14ac:dyDescent="0.3"/>
  <cols>
    <col min="1" max="1" width="14.77734375" bestFit="1" customWidth="1"/>
  </cols>
  <sheetData>
    <row r="1" spans="1:2" x14ac:dyDescent="0.3">
      <c r="A1" t="s">
        <v>34</v>
      </c>
      <c r="B1" t="s">
        <v>4</v>
      </c>
    </row>
    <row r="2" spans="1:2" x14ac:dyDescent="0.3">
      <c r="A2" t="s">
        <v>35</v>
      </c>
      <c r="B2">
        <f>SUM(Sheet1!E2:E50)</f>
        <v>20288</v>
      </c>
    </row>
    <row r="3" spans="1:2" x14ac:dyDescent="0.3">
      <c r="A3" t="s">
        <v>36</v>
      </c>
      <c r="B3">
        <f>AVERAGE(Sheet1!E2:'Sheet1'!E50)</f>
        <v>414.0408163265306</v>
      </c>
    </row>
    <row r="4" spans="1:2" x14ac:dyDescent="0.3">
      <c r="A4" t="s">
        <v>37</v>
      </c>
      <c r="B4">
        <f>MAX(Sheet1!E2:'Sheet1'!E50)</f>
        <v>1800</v>
      </c>
    </row>
    <row r="5" spans="1:2" x14ac:dyDescent="0.3">
      <c r="A5" t="s">
        <v>38</v>
      </c>
      <c r="B5">
        <f>MIN(Sheet1!E2:'Sheet1'!E50)</f>
        <v>50</v>
      </c>
    </row>
    <row r="6" spans="1:2" x14ac:dyDescent="0.3">
      <c r="A6" t="s">
        <v>39</v>
      </c>
      <c r="B6">
        <f>COUNT(Sheet1!E2:'Sheet1'!E50)</f>
        <v>49</v>
      </c>
    </row>
    <row r="8" spans="1:2" x14ac:dyDescent="0.3">
      <c r="A8" t="s">
        <v>1</v>
      </c>
      <c r="B8" t="s">
        <v>4</v>
      </c>
    </row>
    <row r="9" spans="1:2" x14ac:dyDescent="0.3">
      <c r="A9" t="s">
        <v>5</v>
      </c>
      <c r="B9">
        <f>SUMIF(Sheet1!B2:'Sheet1'!B50,"Food",Sheet1!E2:E50)</f>
        <v>2920</v>
      </c>
    </row>
    <row r="10" spans="1:2" x14ac:dyDescent="0.3">
      <c r="A10" t="s">
        <v>8</v>
      </c>
      <c r="B10">
        <f>SUMIF(Sheet1!B2:'Sheet1'!B50,"Transport",Sheet1!E2:E50)</f>
        <v>1370</v>
      </c>
    </row>
    <row r="11" spans="1:2" x14ac:dyDescent="0.3">
      <c r="A11" t="s">
        <v>11</v>
      </c>
      <c r="B11">
        <f>SUMIF(Sheet1!B2:'Sheet1'!B50,"Shopping",Sheet1!E2:E50)</f>
        <v>6500</v>
      </c>
    </row>
    <row r="12" spans="1:2" x14ac:dyDescent="0.3">
      <c r="A12" t="s">
        <v>15</v>
      </c>
      <c r="B12">
        <f>SUMIF(Sheet1!B2:'Sheet1'!B50,"Fuel",Sheet1!E2:E50)</f>
        <v>7700</v>
      </c>
    </row>
    <row r="13" spans="1:2" x14ac:dyDescent="0.3">
      <c r="A13" t="s">
        <v>17</v>
      </c>
      <c r="B13">
        <f>SUMIF(Sheet1!B2:'Sheet1'!B50,"Entertainment",Sheet1!E2:E50)</f>
        <v>1798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Agarwal</dc:creator>
  <cp:lastModifiedBy>Varun Agarwal</cp:lastModifiedBy>
  <dcterms:created xsi:type="dcterms:W3CDTF">2015-06-05T18:17:20Z</dcterms:created>
  <dcterms:modified xsi:type="dcterms:W3CDTF">2026-06-18T14:17:04Z</dcterms:modified>
</cp:coreProperties>
</file>