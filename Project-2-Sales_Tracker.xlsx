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xcel\Excel-Practice\"/>
    </mc:Choice>
  </mc:AlternateContent>
  <xr:revisionPtr revIDLastSave="0" documentId="13_ncr:1_{D914F095-059E-4E99-B482-6691B8D8222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TEGORY" sheetId="1" r:id="rId1"/>
    <sheet name="BUDGET" sheetId="2" r:id="rId2"/>
    <sheet name="SALES" sheetId="3" r:id="rId3"/>
    <sheet name="HINT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3" i="4"/>
  <c r="B13" i="4"/>
  <c r="C12" i="4"/>
  <c r="B12" i="4"/>
  <c r="C11" i="4"/>
  <c r="B11" i="4"/>
  <c r="B10" i="4"/>
  <c r="B6" i="4"/>
  <c r="C5" i="4"/>
  <c r="B5" i="4"/>
  <c r="B4" i="4"/>
  <c r="B14" i="3"/>
  <c r="B13" i="3"/>
  <c r="B12" i="3"/>
  <c r="B11" i="3"/>
  <c r="B7" i="3"/>
  <c r="C5" i="3"/>
  <c r="C4" i="3"/>
  <c r="C3" i="3"/>
  <c r="B5" i="3"/>
  <c r="B4" i="3"/>
  <c r="B3" i="3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B9" i="4" l="1"/>
  <c r="B8" i="4"/>
  <c r="B7" i="4"/>
  <c r="C6" i="4"/>
</calcChain>
</file>

<file path=xl/sharedStrings.xml><?xml version="1.0" encoding="utf-8"?>
<sst xmlns="http://schemas.openxmlformats.org/spreadsheetml/2006/main" count="68" uniqueCount="52">
  <si>
    <t>Month</t>
  </si>
  <si>
    <t>Product Category</t>
  </si>
  <si>
    <t>Units Sold</t>
  </si>
  <si>
    <t>Price Per Unit</t>
  </si>
  <si>
    <t>January</t>
  </si>
  <si>
    <t>Electronics</t>
  </si>
  <si>
    <t>Furniture</t>
  </si>
  <si>
    <t>Clothing</t>
  </si>
  <si>
    <t>February</t>
  </si>
  <si>
    <t>March</t>
  </si>
  <si>
    <t>Total Sales</t>
  </si>
  <si>
    <t>Commission</t>
  </si>
  <si>
    <t>Department</t>
  </si>
  <si>
    <t>Budgeted Amount</t>
  </si>
  <si>
    <t>Actual Spent</t>
  </si>
  <si>
    <t>Marketing</t>
  </si>
  <si>
    <t>Operations</t>
  </si>
  <si>
    <t>HR</t>
  </si>
  <si>
    <t>Sales</t>
  </si>
  <si>
    <t>IT</t>
  </si>
  <si>
    <t>Difference</t>
  </si>
  <si>
    <t>Over/under</t>
  </si>
  <si>
    <t>% Used</t>
  </si>
  <si>
    <t>SALES BY CATEGORY</t>
  </si>
  <si>
    <t>Category</t>
  </si>
  <si>
    <t>Avg Units</t>
  </si>
  <si>
    <t>TOTAL</t>
  </si>
  <si>
    <t>BUDGET SUMMARY (FROM BUDGET SHEET)</t>
  </si>
  <si>
    <t>Metric</t>
  </si>
  <si>
    <t>Amount</t>
  </si>
  <si>
    <t>Total Budgeted</t>
  </si>
  <si>
    <t>Total Spent</t>
  </si>
  <si>
    <t>Remaining Budget</t>
  </si>
  <si>
    <t>Avg % Used</t>
  </si>
  <si>
    <t>FORMULA HINTS &amp; REFERENCE</t>
  </si>
  <si>
    <t>SKILL</t>
  </si>
  <si>
    <t>FORMULA TEMPLATE</t>
  </si>
  <si>
    <t>EXAMPLE</t>
  </si>
  <si>
    <t>Multiply</t>
  </si>
  <si>
    <t>Divide</t>
  </si>
  <si>
    <t>Subtract</t>
  </si>
  <si>
    <t>ROW LOCK</t>
  </si>
  <si>
    <t>Row 4 stays fixed when copying down</t>
  </si>
  <si>
    <t>COLUMN LOCK</t>
  </si>
  <si>
    <t>Column B,C stay fixed when copying right</t>
  </si>
  <si>
    <t>BOTH LOCK</t>
  </si>
  <si>
    <t>Both row &amp; column locked</t>
  </si>
  <si>
    <t>SUM</t>
  </si>
  <si>
    <t>SUMIF</t>
  </si>
  <si>
    <t>AVERAGEIF</t>
  </si>
  <si>
    <t>AVERAGE</t>
  </si>
  <si>
    <t>CROSS-SHEET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</si>
</sst>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A9D08E"/>
        <bgColor rgb="FFA9D08E"/>
      </patternFill>
    </fill>
    <fill>
      <patternFill patternType="solid">
        <fgColor rgb="FFFFA500"/>
        <bgColor rgb="FFFFA500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8" fontId="0" fillId="0" borderId="0" xfId="0" applyNumberFormat="1"/>
    <xf numFmtId="9" fontId="0" fillId="0" borderId="0" xfId="1" applyFont="1"/>
    <xf numFmtId="0" fontId="2" fillId="4" borderId="0" xfId="0" applyFont="1" applyFill="1"/>
    <xf numFmtId="0" fontId="0" fillId="0" borderId="0" xfId="0"/>
    <xf numFmtId="0" fontId="3" fillId="5" borderId="0" xfId="0" applyFont="1" applyFill="1"/>
    <xf numFmtId="0" fontId="0" fillId="6" borderId="0" xfId="0" applyFill="1"/>
    <xf numFmtId="0" fontId="3" fillId="0" borderId="0" xfId="0" applyFont="1"/>
    <xf numFmtId="0" fontId="3" fillId="6" borderId="0" xfId="0" applyFont="1" applyFill="1"/>
    <xf numFmtId="0" fontId="2" fillId="7" borderId="0" xfId="0" applyFont="1" applyFill="1"/>
    <xf numFmtId="0" fontId="3" fillId="8" borderId="0" xfId="0" applyFont="1" applyFill="1"/>
    <xf numFmtId="9" fontId="0" fillId="6" borderId="0" xfId="1" applyFont="1" applyFill="1"/>
    <xf numFmtId="0" fontId="4" fillId="9" borderId="0" xfId="0" applyFont="1" applyFill="1"/>
    <xf numFmtId="0" fontId="2" fillId="7" borderId="0" xfId="0" applyFont="1" applyFill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run\Downloads\Excel_Challenge_Questions.xlsx" TargetMode="External"/><Relationship Id="rId1" Type="http://schemas.openxmlformats.org/officeDocument/2006/relationships/externalLinkPath" Target="file:///C:\Users\varun\Downloads\Excel_Challenge_Ques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Na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Data"/>
      <sheetName val="Budget"/>
      <sheetName val="Summary"/>
      <sheetName val="HINTS"/>
    </sheetNames>
    <sheetDataSet>
      <sheetData sheetId="0">
        <row r="3">
          <cell r="B3" t="str">
            <v>Product Category</v>
          </cell>
          <cell r="C3" t="str">
            <v>Units Sold</v>
          </cell>
          <cell r="E3" t="str">
            <v>Total Sales</v>
          </cell>
        </row>
        <row r="4">
          <cell r="B4" t="str">
            <v>Electronics</v>
          </cell>
          <cell r="C4">
            <v>10</v>
          </cell>
          <cell r="E4" t="str">
            <v>❓ Q1</v>
          </cell>
        </row>
        <row r="5">
          <cell r="B5" t="str">
            <v>Furniture</v>
          </cell>
          <cell r="C5">
            <v>5</v>
          </cell>
          <cell r="E5" t="str">
            <v>❓ Q1</v>
          </cell>
        </row>
        <row r="6">
          <cell r="B6" t="str">
            <v>Clothing</v>
          </cell>
          <cell r="C6">
            <v>20</v>
          </cell>
          <cell r="E6" t="str">
            <v>❓ Q1</v>
          </cell>
        </row>
        <row r="7">
          <cell r="B7" t="str">
            <v>Electronics</v>
          </cell>
          <cell r="C7">
            <v>12</v>
          </cell>
          <cell r="E7" t="str">
            <v>❓ Q1</v>
          </cell>
        </row>
        <row r="8">
          <cell r="B8" t="str">
            <v>Furniture</v>
          </cell>
          <cell r="C8">
            <v>6</v>
          </cell>
          <cell r="E8" t="str">
            <v>❓ Q1</v>
          </cell>
        </row>
        <row r="9">
          <cell r="B9" t="str">
            <v>Clothing</v>
          </cell>
          <cell r="C9">
            <v>18</v>
          </cell>
          <cell r="E9" t="str">
            <v>❓ Q1</v>
          </cell>
        </row>
        <row r="10">
          <cell r="B10" t="str">
            <v>Electronics</v>
          </cell>
          <cell r="C10">
            <v>8</v>
          </cell>
          <cell r="E10" t="str">
            <v>❓ Q1</v>
          </cell>
        </row>
        <row r="11">
          <cell r="B11" t="str">
            <v>Furniture</v>
          </cell>
          <cell r="C11">
            <v>7</v>
          </cell>
          <cell r="E11" t="str">
            <v>❓ Q1</v>
          </cell>
        </row>
        <row r="12">
          <cell r="B12" t="str">
            <v>Clothing</v>
          </cell>
          <cell r="C12">
            <v>22</v>
          </cell>
          <cell r="E12" t="str">
            <v>❓ Q1</v>
          </cell>
        </row>
      </sheetData>
      <sheetData sheetId="1">
        <row r="4">
          <cell r="B4">
            <v>50000</v>
          </cell>
          <cell r="F4" t="str">
            <v>❓ Q3</v>
          </cell>
        </row>
        <row r="5">
          <cell r="F5" t="str">
            <v>❓ Q3</v>
          </cell>
        </row>
        <row r="6">
          <cell r="F6" t="str">
            <v>❓ Q3</v>
          </cell>
        </row>
        <row r="7">
          <cell r="F7" t="str">
            <v>❓ Q3</v>
          </cell>
        </row>
        <row r="8">
          <cell r="F8" t="str">
            <v>❓ Q3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Name"/>
    </sheetNames>
    <definedNames>
      <definedName name="Cell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G7" sqref="G7"/>
    </sheetView>
  </sheetViews>
  <sheetFormatPr defaultRowHeight="14.4" x14ac:dyDescent="0.3"/>
  <cols>
    <col min="1" max="1" width="8.109375" bestFit="1" customWidth="1"/>
    <col min="2" max="2" width="15.77734375" bestFit="1" customWidth="1"/>
    <col min="3" max="3" width="9.44140625" bestFit="1" customWidth="1"/>
    <col min="4" max="4" width="12.3320312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</row>
    <row r="2" spans="1:6" x14ac:dyDescent="0.3">
      <c r="A2" t="s">
        <v>4</v>
      </c>
      <c r="B2" t="s">
        <v>5</v>
      </c>
      <c r="C2">
        <v>10</v>
      </c>
      <c r="D2">
        <v>1000</v>
      </c>
      <c r="E2">
        <f>C2*D2</f>
        <v>10000</v>
      </c>
      <c r="F2">
        <f>0.05*E2</f>
        <v>500</v>
      </c>
    </row>
    <row r="3" spans="1:6" x14ac:dyDescent="0.3">
      <c r="A3" t="s">
        <v>4</v>
      </c>
      <c r="B3" t="s">
        <v>6</v>
      </c>
      <c r="C3">
        <v>5</v>
      </c>
      <c r="D3">
        <v>500</v>
      </c>
      <c r="E3">
        <f t="shared" ref="E3:E10" si="0">C3*D3</f>
        <v>2500</v>
      </c>
      <c r="F3">
        <f t="shared" ref="F3:F10" si="1">0.05*E3</f>
        <v>125</v>
      </c>
    </row>
    <row r="4" spans="1:6" x14ac:dyDescent="0.3">
      <c r="A4" t="s">
        <v>4</v>
      </c>
      <c r="B4" t="s">
        <v>7</v>
      </c>
      <c r="C4">
        <v>20</v>
      </c>
      <c r="D4">
        <v>100</v>
      </c>
      <c r="E4">
        <f t="shared" si="0"/>
        <v>2000</v>
      </c>
      <c r="F4">
        <f t="shared" si="1"/>
        <v>100</v>
      </c>
    </row>
    <row r="5" spans="1:6" x14ac:dyDescent="0.3">
      <c r="A5" t="s">
        <v>8</v>
      </c>
      <c r="B5" t="s">
        <v>5</v>
      </c>
      <c r="C5">
        <v>12</v>
      </c>
      <c r="D5">
        <v>1000</v>
      </c>
      <c r="E5">
        <f t="shared" si="0"/>
        <v>12000</v>
      </c>
      <c r="F5">
        <f t="shared" si="1"/>
        <v>600</v>
      </c>
    </row>
    <row r="6" spans="1:6" x14ac:dyDescent="0.3">
      <c r="A6" t="s">
        <v>8</v>
      </c>
      <c r="B6" t="s">
        <v>6</v>
      </c>
      <c r="C6">
        <v>6</v>
      </c>
      <c r="D6">
        <v>500</v>
      </c>
      <c r="E6">
        <f t="shared" si="0"/>
        <v>3000</v>
      </c>
      <c r="F6">
        <f t="shared" si="1"/>
        <v>150</v>
      </c>
    </row>
    <row r="7" spans="1:6" x14ac:dyDescent="0.3">
      <c r="A7" t="s">
        <v>8</v>
      </c>
      <c r="B7" t="s">
        <v>7</v>
      </c>
      <c r="C7">
        <v>18</v>
      </c>
      <c r="D7">
        <v>100</v>
      </c>
      <c r="E7">
        <f t="shared" si="0"/>
        <v>1800</v>
      </c>
      <c r="F7">
        <f t="shared" si="1"/>
        <v>90</v>
      </c>
    </row>
    <row r="8" spans="1:6" x14ac:dyDescent="0.3">
      <c r="A8" t="s">
        <v>9</v>
      </c>
      <c r="B8" t="s">
        <v>5</v>
      </c>
      <c r="C8">
        <v>8</v>
      </c>
      <c r="D8">
        <v>1000</v>
      </c>
      <c r="E8">
        <f t="shared" si="0"/>
        <v>8000</v>
      </c>
      <c r="F8">
        <f t="shared" si="1"/>
        <v>400</v>
      </c>
    </row>
    <row r="9" spans="1:6" x14ac:dyDescent="0.3">
      <c r="A9" t="s">
        <v>9</v>
      </c>
      <c r="B9" t="s">
        <v>6</v>
      </c>
      <c r="C9">
        <v>7</v>
      </c>
      <c r="D9">
        <v>500</v>
      </c>
      <c r="E9">
        <f t="shared" si="0"/>
        <v>3500</v>
      </c>
      <c r="F9">
        <f t="shared" si="1"/>
        <v>175</v>
      </c>
    </row>
    <row r="10" spans="1:6" x14ac:dyDescent="0.3">
      <c r="A10" t="s">
        <v>9</v>
      </c>
      <c r="B10" t="s">
        <v>7</v>
      </c>
      <c r="C10">
        <v>22</v>
      </c>
      <c r="D10">
        <v>100</v>
      </c>
      <c r="E10">
        <f t="shared" si="0"/>
        <v>2200</v>
      </c>
      <c r="F10">
        <f t="shared" si="1"/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E4CD-6DCF-4CF9-9DAC-C693AD347978}">
  <dimension ref="A1:F6"/>
  <sheetViews>
    <sheetView workbookViewId="0">
      <selection activeCell="B2" sqref="B2"/>
    </sheetView>
  </sheetViews>
  <sheetFormatPr defaultRowHeight="14.4" x14ac:dyDescent="0.3"/>
  <cols>
    <col min="1" max="1" width="11.109375" bestFit="1" customWidth="1"/>
    <col min="2" max="2" width="16.5546875" bestFit="1" customWidth="1"/>
    <col min="3" max="3" width="11.6640625" bestFit="1" customWidth="1"/>
  </cols>
  <sheetData>
    <row r="1" spans="1:6" x14ac:dyDescent="0.3">
      <c r="A1" s="2" t="s">
        <v>12</v>
      </c>
      <c r="B1" s="2" t="s">
        <v>13</v>
      </c>
      <c r="C1" s="2" t="s">
        <v>14</v>
      </c>
      <c r="D1" s="2" t="s">
        <v>20</v>
      </c>
      <c r="E1" s="2" t="s">
        <v>21</v>
      </c>
      <c r="F1" s="2" t="s">
        <v>22</v>
      </c>
    </row>
    <row r="2" spans="1:6" x14ac:dyDescent="0.3">
      <c r="A2" t="s">
        <v>15</v>
      </c>
      <c r="B2" s="3">
        <v>50000</v>
      </c>
      <c r="C2" s="3">
        <v>48000</v>
      </c>
      <c r="D2" s="3">
        <f>B2-C2</f>
        <v>2000</v>
      </c>
      <c r="E2" s="3">
        <f>D2</f>
        <v>2000</v>
      </c>
      <c r="F2" s="4">
        <f>C2/B2</f>
        <v>0.96</v>
      </c>
    </row>
    <row r="3" spans="1:6" x14ac:dyDescent="0.3">
      <c r="A3" t="s">
        <v>16</v>
      </c>
      <c r="B3" s="3">
        <v>75000</v>
      </c>
      <c r="C3" s="3">
        <v>78000</v>
      </c>
      <c r="D3" s="3">
        <f t="shared" ref="D3:D6" si="0">B3-C3</f>
        <v>-3000</v>
      </c>
      <c r="E3" s="3">
        <f t="shared" ref="E3:E6" si="1">D3</f>
        <v>-3000</v>
      </c>
      <c r="F3" s="4">
        <f t="shared" ref="F3:F6" si="2">C3/B3</f>
        <v>1.04</v>
      </c>
    </row>
    <row r="4" spans="1:6" x14ac:dyDescent="0.3">
      <c r="A4" t="s">
        <v>17</v>
      </c>
      <c r="B4" s="3">
        <v>40000</v>
      </c>
      <c r="C4" s="3">
        <v>35000</v>
      </c>
      <c r="D4" s="3">
        <f t="shared" si="0"/>
        <v>5000</v>
      </c>
      <c r="E4" s="3">
        <f t="shared" si="1"/>
        <v>5000</v>
      </c>
      <c r="F4" s="4">
        <f t="shared" si="2"/>
        <v>0.875</v>
      </c>
    </row>
    <row r="5" spans="1:6" x14ac:dyDescent="0.3">
      <c r="A5" t="s">
        <v>18</v>
      </c>
      <c r="B5" s="3">
        <v>60000</v>
      </c>
      <c r="C5" s="3">
        <v>58000</v>
      </c>
      <c r="D5" s="3">
        <f t="shared" si="0"/>
        <v>2000</v>
      </c>
      <c r="E5" s="3">
        <f t="shared" si="1"/>
        <v>2000</v>
      </c>
      <c r="F5" s="4">
        <f t="shared" si="2"/>
        <v>0.96666666666666667</v>
      </c>
    </row>
    <row r="6" spans="1:6" x14ac:dyDescent="0.3">
      <c r="A6" t="s">
        <v>19</v>
      </c>
      <c r="B6" s="3">
        <v>55000</v>
      </c>
      <c r="C6" s="3">
        <v>52000</v>
      </c>
      <c r="D6" s="3">
        <f t="shared" si="0"/>
        <v>3000</v>
      </c>
      <c r="E6" s="3">
        <f t="shared" si="1"/>
        <v>3000</v>
      </c>
      <c r="F6" s="4">
        <f t="shared" si="2"/>
        <v>0.94545454545454544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6712-EB85-463C-8CFC-C707CCDC5F5E}">
  <dimension ref="A1:C14"/>
  <sheetViews>
    <sheetView workbookViewId="0">
      <selection activeCell="B15" sqref="B15"/>
    </sheetView>
  </sheetViews>
  <sheetFormatPr defaultRowHeight="14.4" x14ac:dyDescent="0.3"/>
  <cols>
    <col min="1" max="1" width="15.6640625" bestFit="1" customWidth="1"/>
    <col min="2" max="2" width="37.6640625" customWidth="1"/>
    <col min="3" max="3" width="9" bestFit="1" customWidth="1"/>
  </cols>
  <sheetData>
    <row r="1" spans="1:3" x14ac:dyDescent="0.3">
      <c r="A1" s="5" t="s">
        <v>23</v>
      </c>
      <c r="B1" s="6"/>
      <c r="C1" s="6"/>
    </row>
    <row r="2" spans="1:3" x14ac:dyDescent="0.3">
      <c r="A2" s="7" t="s">
        <v>24</v>
      </c>
      <c r="B2" s="7" t="s">
        <v>10</v>
      </c>
      <c r="C2" s="7" t="s">
        <v>25</v>
      </c>
    </row>
    <row r="3" spans="1:3" x14ac:dyDescent="0.3">
      <c r="A3" t="s">
        <v>5</v>
      </c>
      <c r="B3" s="8">
        <f>SUMIF(CATEGORY!B2:'CATEGORY'!B10, "Electronics", CATEGORY!E2:E10)</f>
        <v>30000</v>
      </c>
      <c r="C3" s="8">
        <f>AVERAGEIF(CATEGORY!B2:'CATEGORY'!B10, "Electronics", CATEGORY!C2:C10)</f>
        <v>10</v>
      </c>
    </row>
    <row r="4" spans="1:3" x14ac:dyDescent="0.3">
      <c r="A4" t="s">
        <v>6</v>
      </c>
      <c r="B4" s="8">
        <f>SUMIF(CATEGORY!B2:'CATEGORY'!B10, "Furniture", CATEGORY!E2:E10)</f>
        <v>9000</v>
      </c>
      <c r="C4" s="8">
        <f>AVERAGEIF(CATEGORY!B2:'CATEGORY'!B10, "Furniture", CATEGORY!C2:C10)</f>
        <v>6</v>
      </c>
    </row>
    <row r="5" spans="1:3" x14ac:dyDescent="0.3">
      <c r="A5" t="s">
        <v>7</v>
      </c>
      <c r="B5" s="8">
        <f>SUMIF(CATEGORY!B2:'CATEGORY'!B10, "Clothing", CATEGORY!E2:E10)</f>
        <v>6000</v>
      </c>
      <c r="C5" s="8">
        <f>AVERAGEIF(CATEGORY!B2:'CATEGORY'!B10, "Clothing", CATEGORY!C2:C10)</f>
        <v>20</v>
      </c>
    </row>
    <row r="7" spans="1:3" x14ac:dyDescent="0.3">
      <c r="A7" s="9" t="s">
        <v>26</v>
      </c>
      <c r="B7" s="10">
        <f>SUM(B3:B5)</f>
        <v>45000</v>
      </c>
    </row>
    <row r="9" spans="1:3" x14ac:dyDescent="0.3">
      <c r="A9" s="11" t="s">
        <v>27</v>
      </c>
      <c r="B9" s="6"/>
    </row>
    <row r="10" spans="1:3" x14ac:dyDescent="0.3">
      <c r="A10" s="12" t="s">
        <v>28</v>
      </c>
      <c r="B10" s="12" t="s">
        <v>29</v>
      </c>
    </row>
    <row r="11" spans="1:3" x14ac:dyDescent="0.3">
      <c r="A11" t="s">
        <v>30</v>
      </c>
      <c r="B11" s="8">
        <f>SUM(BUDGET!B2:B6)</f>
        <v>280000</v>
      </c>
    </row>
    <row r="12" spans="1:3" x14ac:dyDescent="0.3">
      <c r="A12" t="s">
        <v>31</v>
      </c>
      <c r="B12" s="8">
        <f>SUM(BUDGET!C2:'BUDGET'!C6)</f>
        <v>271000</v>
      </c>
    </row>
    <row r="13" spans="1:3" x14ac:dyDescent="0.3">
      <c r="A13" t="s">
        <v>32</v>
      </c>
      <c r="B13" s="8">
        <f>B11-B12</f>
        <v>9000</v>
      </c>
    </row>
    <row r="14" spans="1:3" x14ac:dyDescent="0.3">
      <c r="A14" t="s">
        <v>33</v>
      </c>
      <c r="B14" s="13">
        <f>AVERAGE(BUDGET!F2:'BUDGET'!F6)</f>
        <v>0.9574242424242424</v>
      </c>
    </row>
  </sheetData>
  <mergeCells count="2">
    <mergeCell ref="A1:C1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DB9A-EE96-410B-886E-2C01E4AA1444}">
  <dimension ref="A1:C14"/>
  <sheetViews>
    <sheetView tabSelected="1" workbookViewId="0">
      <selection activeCell="G10" sqref="G10"/>
    </sheetView>
  </sheetViews>
  <sheetFormatPr defaultRowHeight="14.4" x14ac:dyDescent="0.3"/>
  <cols>
    <col min="1" max="1" width="8.6640625" bestFit="1" customWidth="1"/>
    <col min="2" max="2" width="19.21875" bestFit="1" customWidth="1"/>
    <col min="3" max="3" width="37.88671875" customWidth="1"/>
  </cols>
  <sheetData>
    <row r="1" spans="1:3" ht="18" x14ac:dyDescent="0.35">
      <c r="A1" s="14" t="s">
        <v>34</v>
      </c>
      <c r="B1" s="6"/>
      <c r="C1" s="6"/>
    </row>
    <row r="3" spans="1:3" x14ac:dyDescent="0.3">
      <c r="A3" s="15" t="s">
        <v>35</v>
      </c>
      <c r="B3" s="15" t="s">
        <v>36</v>
      </c>
      <c r="C3" s="15" t="s">
        <v>37</v>
      </c>
    </row>
    <row r="4" spans="1:3" x14ac:dyDescent="0.3">
      <c r="A4" s="16" t="s">
        <v>38</v>
      </c>
      <c r="B4" s="16" t="e">
        <f>A*B</f>
        <v>#NAME?</v>
      </c>
      <c r="C4" s="16"/>
    </row>
    <row r="5" spans="1:3" x14ac:dyDescent="0.3">
      <c r="A5" s="16" t="s">
        <v>39</v>
      </c>
      <c r="B5" s="16" t="e">
        <f>A/B</f>
        <v>#NAME?</v>
      </c>
      <c r="C5" s="16" t="e">
        <f>C4/D4</f>
        <v>#DIV/0!</v>
      </c>
    </row>
    <row r="6" spans="1:3" x14ac:dyDescent="0.3">
      <c r="A6" s="16" t="s">
        <v>40</v>
      </c>
      <c r="B6" s="16" t="e">
        <f>A-B</f>
        <v>#NAME?</v>
      </c>
      <c r="C6" s="16" t="e">
        <f>B4-C4</f>
        <v>#NAME?</v>
      </c>
    </row>
    <row r="7" spans="1:3" ht="28.8" x14ac:dyDescent="0.3">
      <c r="A7" s="16" t="s">
        <v>41</v>
      </c>
      <c r="B7" s="16" t="e">
        <f>B$4-C$4</f>
        <v>#NAME?</v>
      </c>
      <c r="C7" s="16" t="s">
        <v>42</v>
      </c>
    </row>
    <row r="8" spans="1:3" ht="28.8" x14ac:dyDescent="0.3">
      <c r="A8" s="16" t="s">
        <v>43</v>
      </c>
      <c r="B8" s="16" t="e">
        <f>$B4-$C4</f>
        <v>#NAME?</v>
      </c>
      <c r="C8" s="16" t="s">
        <v>44</v>
      </c>
    </row>
    <row r="9" spans="1:3" ht="43.2" x14ac:dyDescent="0.3">
      <c r="A9" s="16" t="s">
        <v>45</v>
      </c>
      <c r="B9" s="16" t="e">
        <f>$B$4-$C$4</f>
        <v>#NAME?</v>
      </c>
      <c r="C9" s="16" t="s">
        <v>46</v>
      </c>
    </row>
    <row r="10" spans="1:3" x14ac:dyDescent="0.3">
      <c r="A10" s="16" t="s">
        <v>47</v>
      </c>
      <c r="B10" s="16">
        <f>SUM(A1:A5)</f>
        <v>0</v>
      </c>
      <c r="C10" s="16"/>
    </row>
    <row r="11" spans="1:3" x14ac:dyDescent="0.3">
      <c r="A11" s="16" t="s">
        <v>48</v>
      </c>
      <c r="B11" s="16" t="e">
        <f>SUMIF(range, criteria, sum_range)</f>
        <v>#NAME?</v>
      </c>
      <c r="C11" s="16">
        <f>SUMIF('[1]Sales Data'!B:B,"Electronics",'[1]Sales Data'!E:E)</f>
        <v>0</v>
      </c>
    </row>
    <row r="12" spans="1:3" ht="28.8" x14ac:dyDescent="0.3">
      <c r="A12" s="16" t="s">
        <v>49</v>
      </c>
      <c r="B12" s="16" t="e">
        <f>AVERAGEIF(range, criteria, avg_range)</f>
        <v>#NAME?</v>
      </c>
      <c r="C12" s="16">
        <f>AVERAGEIF('[1]Sales Data'!B:B,"Furniture",'[1]Sales Data'!C:C)</f>
        <v>6</v>
      </c>
    </row>
    <row r="13" spans="1:3" x14ac:dyDescent="0.3">
      <c r="A13" s="16" t="s">
        <v>50</v>
      </c>
      <c r="B13" s="16" t="e">
        <f>AVERAGE(A1:A5)</f>
        <v>#DIV/0!</v>
      </c>
      <c r="C13" s="16" t="e">
        <f>AVERAGE([1]Budget!F4:F8)</f>
        <v>#DIV/0!</v>
      </c>
    </row>
    <row r="14" spans="1:3" ht="43.2" x14ac:dyDescent="0.3">
      <c r="A14" s="16" t="s">
        <v>51</v>
      </c>
      <c r="B14" s="16" t="e">
        <f>[2]!Cell</f>
        <v>#NAME?</v>
      </c>
      <c r="C14" s="16" t="e">
        <f>[1]Budget!B4 pulls from Budget sheet, cell B4</f>
        <v>#NAME?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BUDGET</vt:lpstr>
      <vt:lpstr>SALES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Agarwal</dc:creator>
  <cp:lastModifiedBy>Varun Agarwal</cp:lastModifiedBy>
  <dcterms:created xsi:type="dcterms:W3CDTF">2015-06-05T18:17:20Z</dcterms:created>
  <dcterms:modified xsi:type="dcterms:W3CDTF">2026-06-20T14:20:45Z</dcterms:modified>
</cp:coreProperties>
</file>